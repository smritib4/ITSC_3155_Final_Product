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6175" windowHeight="145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family val="2"/>
      <b val="1"/>
      <color rgb="FF000000"/>
      <sz val="14"/>
    </font>
    <font>
      <name val="Arial"/>
      <family val="2"/>
      <sz val="10"/>
    </font>
    <font>
      <name val="&quot;⋎ntury Gothic\&quot;&quot;"/>
      <b val="1"/>
      <color rgb="FFFFFFFF"/>
      <sz val="10"/>
    </font>
    <font>
      <name val="&quot;⋎ntury Gothic\&quot;&quot;"/>
      <b val="1"/>
      <color rgb="FF000000"/>
      <sz val="10"/>
    </font>
    <font>
      <name val="Calibri"/>
      <family val="2"/>
      <color rgb="FF000000"/>
      <sz val="12"/>
    </font>
    <font>
      <name val="&quot;⋎ntury Gothic\&quot;&quot;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4" borderId="4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0" fontId="4" fillId="5" borderId="4" pivotButton="0" quotePrefix="0" xfId="0"/>
    <xf numFmtId="0" fontId="4" fillId="5" borderId="5" applyAlignment="1" pivotButton="0" quotePrefix="0" xfId="0">
      <alignment horizontal="center"/>
    </xf>
    <xf numFmtId="0" fontId="5" fillId="5" borderId="5" pivotButton="0" quotePrefix="0" xfId="0"/>
    <xf numFmtId="0" fontId="6" fillId="5" borderId="5" pivotButton="0" quotePrefix="0" xfId="0"/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5" pivotButton="0" quotePrefix="0" xfId="0"/>
    <xf numFmtId="0" fontId="6" fillId="0" borderId="5" applyAlignment="1" pivotButton="0" quotePrefix="0" xfId="0">
      <alignment horizontal="right"/>
    </xf>
    <xf numFmtId="0" fontId="3" fillId="6" borderId="4" pivotButton="0" quotePrefix="0" xfId="0"/>
    <xf numFmtId="0" fontId="3" fillId="6" borderId="5" pivotButton="0" quotePrefix="0" xfId="0"/>
    <xf numFmtId="0" fontId="3" fillId="6" borderId="5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3" borderId="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83"/>
  <sheetViews>
    <sheetView tabSelected="1" workbookViewId="0">
      <pane ySplit="3" topLeftCell="A4" activePane="bottomLeft" state="frozen"/>
      <selection pane="bottomLeft" activeCell="A1" sqref="A1:L1"/>
    </sheetView>
  </sheetViews>
  <sheetFormatPr baseColWidth="8" defaultColWidth="12.5703125" defaultRowHeight="15.75" customHeight="1"/>
  <cols>
    <col width="72" customWidth="1" style="15" min="1" max="1"/>
    <col width="11" customWidth="1" style="15" min="2" max="2"/>
    <col width="21" customWidth="1" style="15" min="3" max="3"/>
    <col width="15" customWidth="1" style="15" min="4" max="4"/>
    <col width="8" customWidth="1" style="15" min="5" max="5"/>
    <col width="8" customWidth="1" style="15" min="6" max="6"/>
    <col width="8" customWidth="1" style="15" min="7" max="7"/>
    <col width="8" customWidth="1" style="15" min="8" max="8"/>
    <col width="8" customWidth="1" style="15" min="9" max="9"/>
    <col width="8" customWidth="1" style="15" min="10" max="10"/>
    <col width="19" customWidth="1" style="15" min="11" max="11"/>
    <col width="14" customWidth="1" style="15" min="12" max="12"/>
  </cols>
  <sheetData>
    <row r="1" ht="15.75" customHeight="1" s="15">
      <c r="A1" s="14" t="inlineStr">
        <is>
          <t>ITSC-3155 Software Engineering</t>
        </is>
      </c>
    </row>
    <row r="2" ht="15.75" customHeight="1" s="15">
      <c r="A2" s="19" t="inlineStr">
        <is>
          <t>Sprint Backlog - Sprint 2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1" t="n"/>
    </row>
    <row r="3">
      <c r="A3" s="1" t="inlineStr">
        <is>
          <t>Story Tasks</t>
        </is>
      </c>
      <c r="B3" s="2" t="inlineStr">
        <is>
          <t>Story Point</t>
        </is>
      </c>
      <c r="C3" s="2" t="inlineStr">
        <is>
          <t>Assigned to</t>
        </is>
      </c>
      <c r="D3" s="2" t="inlineStr">
        <is>
          <t>Estimated Effort</t>
        </is>
      </c>
      <c r="E3" s="2" t="inlineStr">
        <is>
          <t>Day1</t>
        </is>
      </c>
      <c r="F3" s="2" t="inlineStr">
        <is>
          <t>DAY 2</t>
        </is>
      </c>
      <c r="G3" s="2" t="inlineStr">
        <is>
          <t>DAY 3</t>
        </is>
      </c>
      <c r="H3" s="2" t="inlineStr">
        <is>
          <t>DAY 4</t>
        </is>
      </c>
      <c r="I3" s="2" t="inlineStr">
        <is>
          <t>DAY 5</t>
        </is>
      </c>
      <c r="J3" s="2" t="inlineStr">
        <is>
          <t>DAY 6</t>
        </is>
      </c>
      <c r="K3" s="2" t="inlineStr">
        <is>
          <t>Status</t>
        </is>
      </c>
      <c r="L3" s="2" t="inlineStr">
        <is>
          <t>SPRINT REVIEW</t>
        </is>
      </c>
    </row>
    <row r="4" ht="15.75" customHeight="1" s="15">
      <c r="A4" s="3" t="inlineStr">
        <is>
          <t>User Story #8 (carryover) - View Order Details</t>
        </is>
      </c>
      <c r="B4" s="4" t="n">
        <v>3</v>
      </c>
      <c r="C4" s="5" t="n"/>
      <c r="D4" s="5">
        <f>SUM(D5:D7)</f>
        <v/>
      </c>
      <c r="E4" s="5">
        <f>SUM(E5:E7)</f>
        <v/>
      </c>
      <c r="F4" s="5">
        <f>SUM(F5:F7)</f>
        <v/>
      </c>
      <c r="G4" s="5">
        <f>SUM(G5:G7)</f>
        <v/>
      </c>
      <c r="H4" s="5">
        <f>SUM(H5:H7)</f>
        <v/>
      </c>
      <c r="I4" s="5">
        <f>SUM(I5:I7)</f>
        <v/>
      </c>
      <c r="J4" s="5">
        <f>SUM(J5:J7)</f>
        <v/>
      </c>
      <c r="K4" s="6" t="inlineStr">
        <is>
          <t>Done</t>
        </is>
      </c>
      <c r="L4" s="5" t="n"/>
    </row>
    <row r="5">
      <c r="A5" s="7" t="inlineStr">
        <is>
          <t>Add the special_instructions column to order_details and migrate ros.db</t>
        </is>
      </c>
      <c r="B5" s="8" t="n"/>
      <c r="C5" s="9" t="inlineStr">
        <is>
          <t>Smriti Bhemireddy</t>
        </is>
      </c>
      <c r="D5" s="10" t="n">
        <v>1</v>
      </c>
      <c r="E5" s="10" t="n">
        <v>0.5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9" t="n"/>
      <c r="L5" s="10" t="n">
        <v>0</v>
      </c>
    </row>
    <row r="6">
      <c r="A6" s="7" t="inlineStr">
        <is>
          <t>Expose special_instructions in the schemas with quantity &gt;= 1 validation</t>
        </is>
      </c>
      <c r="B6" s="8" t="n"/>
      <c r="C6" s="9" t="inlineStr">
        <is>
          <t>Smriti Bhemireddy</t>
        </is>
      </c>
      <c r="D6" s="10" t="n">
        <v>1</v>
      </c>
      <c r="E6" s="10" t="n">
        <v>0.5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9" t="n"/>
      <c r="L6" s="10" t="n">
        <v>0</v>
      </c>
    </row>
    <row r="7">
      <c r="A7" s="7" t="inlineStr">
        <is>
          <t>Tests for special instructions and quantity validation</t>
        </is>
      </c>
      <c r="B7" s="8" t="n"/>
      <c r="C7" s="9" t="inlineStr">
        <is>
          <t>Smriti Bhemireddy</t>
        </is>
      </c>
      <c r="D7" s="10" t="n">
        <v>0.5</v>
      </c>
      <c r="E7" s="10" t="n">
        <v>0.5</v>
      </c>
      <c r="F7" s="10" t="n">
        <v>0.5</v>
      </c>
      <c r="G7" s="10" t="n">
        <v>0</v>
      </c>
      <c r="H7" s="10" t="n">
        <v>0</v>
      </c>
      <c r="I7" s="10" t="n">
        <v>0</v>
      </c>
      <c r="J7" s="10" t="n">
        <v>0</v>
      </c>
      <c r="K7" s="9" t="n"/>
      <c r="L7" s="10" t="n">
        <v>0</v>
      </c>
    </row>
    <row r="8">
      <c r="A8" s="3" t="inlineStr">
        <is>
          <t>User Story #22 (carryover) - Track Orders / View Current Status</t>
        </is>
      </c>
      <c r="B8" s="4" t="n">
        <v>5</v>
      </c>
      <c r="C8" s="5" t="n"/>
      <c r="D8" s="5">
        <f>SUM(D9:D11)</f>
        <v/>
      </c>
      <c r="E8" s="5">
        <f>SUM(E9:E11)</f>
        <v/>
      </c>
      <c r="F8" s="5">
        <f>SUM(F9:F11)</f>
        <v/>
      </c>
      <c r="G8" s="5">
        <f>SUM(G9:G11)</f>
        <v/>
      </c>
      <c r="H8" s="5">
        <f>SUM(H9:H11)</f>
        <v/>
      </c>
      <c r="I8" s="5">
        <f>SUM(I9:I11)</f>
        <v/>
      </c>
      <c r="J8" s="5">
        <f>SUM(J9:J11)</f>
        <v/>
      </c>
      <c r="K8" s="6" t="inlineStr">
        <is>
          <t>Done</t>
        </is>
      </c>
      <c r="L8" s="5" t="n"/>
    </row>
    <row r="9" ht="15.75" customHeight="1" s="15">
      <c r="A9" s="7" t="inlineStr">
        <is>
          <t>OrderTracking response schema (status, type, estimated time, date, total)</t>
        </is>
      </c>
      <c r="B9" s="8" t="n"/>
      <c r="C9" s="9" t="inlineStr">
        <is>
          <t>Smriti Bhemireddy</t>
        </is>
      </c>
      <c r="D9" s="10" t="n">
        <v>1</v>
      </c>
      <c r="E9" s="10" t="n">
        <v>0.5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n"/>
      <c r="L9" s="10" t="n">
        <v>0</v>
      </c>
    </row>
    <row r="10">
      <c r="A10" s="7" t="inlineStr">
        <is>
          <t>GET /orders/{order_id}/tracking controller function and route</t>
        </is>
      </c>
      <c r="B10" s="8" t="n"/>
      <c r="C10" s="9" t="inlineStr">
        <is>
          <t>Smriti Bhemireddy</t>
        </is>
      </c>
      <c r="D10" s="10" t="n">
        <v>1</v>
      </c>
      <c r="E10" s="10" t="n">
        <v>1</v>
      </c>
      <c r="F10" s="10" t="n">
        <v>0.5</v>
      </c>
      <c r="G10" s="10" t="n">
        <v>0.5</v>
      </c>
      <c r="H10" s="10" t="n">
        <v>0</v>
      </c>
      <c r="I10" s="10" t="n">
        <v>0</v>
      </c>
      <c r="J10" s="10" t="n">
        <v>0</v>
      </c>
      <c r="K10" s="9" t="n"/>
      <c r="L10" s="10" t="n">
        <v>0</v>
      </c>
    </row>
    <row r="11">
      <c r="A11" s="7" t="inlineStr">
        <is>
          <t>test_order_tracking.py including 404 for an unknown order</t>
        </is>
      </c>
      <c r="B11" s="8" t="n"/>
      <c r="C11" s="9" t="inlineStr">
        <is>
          <t>Smriti Bhemireddy</t>
        </is>
      </c>
      <c r="D11" s="10" t="n">
        <v>0.5</v>
      </c>
      <c r="E11" s="10" t="n">
        <v>0.5</v>
      </c>
      <c r="F11" s="10" t="n">
        <v>0.5</v>
      </c>
      <c r="G11" s="10" t="n">
        <v>0</v>
      </c>
      <c r="H11" s="10" t="n">
        <v>0</v>
      </c>
      <c r="I11" s="10" t="n">
        <v>0</v>
      </c>
      <c r="J11" s="10" t="n">
        <v>0</v>
      </c>
      <c r="K11" s="9" t="n"/>
      <c r="L11" s="10" t="n">
        <v>0</v>
      </c>
    </row>
    <row r="12">
      <c r="A12" s="3" t="inlineStr">
        <is>
          <t>User Story #5 - Manually Adjust Inventory</t>
        </is>
      </c>
      <c r="B12" s="4" t="n">
        <v>3</v>
      </c>
      <c r="C12" s="5" t="n"/>
      <c r="D12" s="5">
        <f>SUM(D13:D15)</f>
        <v/>
      </c>
      <c r="E12" s="5">
        <f>SUM(E13:E15)</f>
        <v/>
      </c>
      <c r="F12" s="5">
        <f>SUM(F13:F15)</f>
        <v/>
      </c>
      <c r="G12" s="5">
        <f>SUM(G13:G15)</f>
        <v/>
      </c>
      <c r="H12" s="5">
        <f>SUM(H13:H15)</f>
        <v/>
      </c>
      <c r="I12" s="5">
        <f>SUM(I13:I15)</f>
        <v/>
      </c>
      <c r="J12" s="5">
        <f>SUM(J13:J15)</f>
        <v/>
      </c>
      <c r="K12" s="6" t="inlineStr">
        <is>
          <t>Done</t>
        </is>
      </c>
      <c r="L12" s="5" t="n"/>
    </row>
    <row r="13">
      <c r="A13" s="7" t="inlineStr">
        <is>
          <t>PUT /inventory/{ingredient_id} manual quantity adjustment</t>
        </is>
      </c>
      <c r="B13" s="8" t="n"/>
      <c r="C13" s="9" t="inlineStr">
        <is>
          <t>Smriti Bhemireddy</t>
        </is>
      </c>
      <c r="D13" s="10" t="n">
        <v>1</v>
      </c>
      <c r="E13" s="10" t="n">
        <v>0.5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9" t="n"/>
      <c r="L13" s="10" t="n">
        <v>0</v>
      </c>
    </row>
    <row r="14" ht="15.75" customHeight="1" s="15">
      <c r="A14" s="7" t="inlineStr">
        <is>
          <t>Reject negative quantity and minimum_quantity with 422</t>
        </is>
      </c>
      <c r="B14" s="8" t="n"/>
      <c r="C14" s="9" t="inlineStr">
        <is>
          <t>Smriti Bhemireddy</t>
        </is>
      </c>
      <c r="D14" s="10" t="n">
        <v>0.5</v>
      </c>
      <c r="E14" s="10" t="n">
        <v>0.5</v>
      </c>
      <c r="F14" s="10" t="n">
        <v>0.5</v>
      </c>
      <c r="G14" s="10" t="n">
        <v>0</v>
      </c>
      <c r="H14" s="10" t="n">
        <v>0</v>
      </c>
      <c r="I14" s="10" t="n">
        <v>0</v>
      </c>
      <c r="J14" s="10" t="n">
        <v>0</v>
      </c>
      <c r="K14" s="9" t="n"/>
      <c r="L14" s="10" t="n">
        <v>0</v>
      </c>
    </row>
    <row r="15">
      <c r="A15" s="7" t="inlineStr">
        <is>
          <t>test_inventory.py manual-adjustment and 404 tests</t>
        </is>
      </c>
      <c r="B15" s="8" t="n"/>
      <c r="C15" s="9" t="inlineStr">
        <is>
          <t>Smriti Bhemireddy</t>
        </is>
      </c>
      <c r="D15" s="10" t="n">
        <v>0.5</v>
      </c>
      <c r="E15" s="10" t="n">
        <v>0.5</v>
      </c>
      <c r="F15" s="10" t="n">
        <v>0.5</v>
      </c>
      <c r="G15" s="10" t="n">
        <v>0</v>
      </c>
      <c r="H15" s="10" t="n">
        <v>0</v>
      </c>
      <c r="I15" s="10" t="n">
        <v>0</v>
      </c>
      <c r="J15" s="10" t="n">
        <v>0</v>
      </c>
      <c r="K15" s="9" t="n"/>
      <c r="L15" s="10" t="n">
        <v>0</v>
      </c>
    </row>
    <row r="16">
      <c r="A16" s="3" t="inlineStr">
        <is>
          <t>User Story #6 - Auto-Disable Out-Of-Stock Items</t>
        </is>
      </c>
      <c r="B16" s="4" t="n">
        <v>5</v>
      </c>
      <c r="C16" s="5" t="n"/>
      <c r="D16" s="5">
        <f>SUM(D17:D21)</f>
        <v/>
      </c>
      <c r="E16" s="5">
        <f>SUM(E17:E21)</f>
        <v/>
      </c>
      <c r="F16" s="5">
        <f>SUM(F17:F21)</f>
        <v/>
      </c>
      <c r="G16" s="5">
        <f>SUM(G17:G21)</f>
        <v/>
      </c>
      <c r="H16" s="5">
        <f>SUM(H17:H21)</f>
        <v/>
      </c>
      <c r="I16" s="5">
        <f>SUM(I17:I21)</f>
        <v/>
      </c>
      <c r="J16" s="5">
        <f>SUM(J17:J21)</f>
        <v/>
      </c>
      <c r="K16" s="6" t="inlineStr">
        <is>
          <t>Done</t>
        </is>
      </c>
      <c r="L16" s="5" t="n"/>
    </row>
    <row r="17">
      <c r="A17" s="7" t="inlineStr">
        <is>
          <t>menu_item_inventory link-table CRUD on the composite key</t>
        </is>
      </c>
      <c r="B17" s="8" t="n"/>
      <c r="C17" s="9" t="inlineStr">
        <is>
          <t>Smriti Bhemireddy</t>
        </is>
      </c>
      <c r="D17" s="10" t="n">
        <v>1.5</v>
      </c>
      <c r="E17" s="10" t="n">
        <v>0.5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9" t="n"/>
      <c r="L17" s="10" t="n">
        <v>0</v>
      </c>
    </row>
    <row r="18">
      <c r="A18" s="7" t="inlineStr">
        <is>
          <t>POST /menuitems/recompute-availability using quantity_required</t>
        </is>
      </c>
      <c r="B18" s="8" t="n"/>
      <c r="C18" s="9" t="inlineStr">
        <is>
          <t>Smriti Bhemireddy</t>
        </is>
      </c>
      <c r="D18" s="10" t="n">
        <v>1</v>
      </c>
      <c r="E18" s="10" t="n">
        <v>1</v>
      </c>
      <c r="F18" s="10" t="n">
        <v>0.5</v>
      </c>
      <c r="G18" s="10" t="n">
        <v>0.5</v>
      </c>
      <c r="H18" s="10" t="n">
        <v>0</v>
      </c>
      <c r="I18" s="10" t="n">
        <v>0</v>
      </c>
      <c r="J18" s="10" t="n">
        <v>0</v>
      </c>
      <c r="K18" s="9" t="n"/>
      <c r="L18" s="10" t="n">
        <v>0</v>
      </c>
    </row>
    <row r="19" ht="15.75" customHeight="1" s="15">
      <c r="A19" s="7" t="inlineStr">
        <is>
          <t>Hook the recompute into inventory PUT plus test_menu_auto_disable.py</t>
        </is>
      </c>
      <c r="B19" s="8" t="n"/>
      <c r="C19" s="9" t="inlineStr">
        <is>
          <t>Smriti Bhemireddy</t>
        </is>
      </c>
      <c r="D19" s="10" t="n">
        <v>1</v>
      </c>
      <c r="E19" s="10" t="n">
        <v>1</v>
      </c>
      <c r="F19" s="10" t="n">
        <v>0.5</v>
      </c>
      <c r="G19" s="10" t="n">
        <v>0.5</v>
      </c>
      <c r="H19" s="10" t="n">
        <v>0</v>
      </c>
      <c r="I19" s="10" t="n">
        <v>0</v>
      </c>
      <c r="J19" s="10" t="n">
        <v>0</v>
      </c>
      <c r="K19" s="9" t="n"/>
      <c r="L19" s="10" t="n">
        <v>0</v>
      </c>
    </row>
    <row r="20">
      <c r="A20" s="7" t="inlineStr">
        <is>
          <t>Deduct and restore ingredient stock on order line-item changes (409 when short)</t>
        </is>
      </c>
      <c r="B20" s="8" t="n"/>
      <c r="C20" s="9" t="inlineStr">
        <is>
          <t>Smriti Bhemireddy</t>
        </is>
      </c>
      <c r="D20" s="10" t="n">
        <v>1.5</v>
      </c>
      <c r="E20" s="10" t="n">
        <v>1.5</v>
      </c>
      <c r="F20" s="10" t="n">
        <v>1.5</v>
      </c>
      <c r="G20" s="10" t="n">
        <v>1</v>
      </c>
      <c r="H20" s="10" t="n">
        <v>0.5</v>
      </c>
      <c r="I20" s="10" t="n">
        <v>0.5</v>
      </c>
      <c r="J20" s="10" t="n">
        <v>0</v>
      </c>
      <c r="K20" s="9" t="n"/>
      <c r="L20" s="10" t="n">
        <v>0</v>
      </c>
    </row>
    <row r="21">
      <c r="A21" s="7" t="inlineStr">
        <is>
          <t>test_inventory_deduction.py - deduct, restore, insufficient stock</t>
        </is>
      </c>
      <c r="B21" s="8" t="n"/>
      <c r="C21" s="9" t="inlineStr">
        <is>
          <t>Smriti Bhemireddy</t>
        </is>
      </c>
      <c r="D21" s="10" t="n">
        <v>0.5</v>
      </c>
      <c r="E21" s="10" t="n">
        <v>0.5</v>
      </c>
      <c r="F21" s="10" t="n">
        <v>0.5</v>
      </c>
      <c r="G21" s="10" t="n">
        <v>0.5</v>
      </c>
      <c r="H21" s="10" t="n">
        <v>0</v>
      </c>
      <c r="I21" s="10" t="n">
        <v>0</v>
      </c>
      <c r="J21" s="10" t="n">
        <v>0</v>
      </c>
      <c r="K21" s="9" t="n"/>
      <c r="L21" s="10" t="n">
        <v>0</v>
      </c>
    </row>
    <row r="22">
      <c r="A22" s="3" t="inlineStr">
        <is>
          <t>User Story #9 - Filter Orders By Date Range</t>
        </is>
      </c>
      <c r="B22" s="4" t="n">
        <v>3</v>
      </c>
      <c r="C22" s="5" t="n"/>
      <c r="D22" s="5">
        <f>SUM(D23:D25)</f>
        <v/>
      </c>
      <c r="E22" s="5">
        <f>SUM(E23:E25)</f>
        <v/>
      </c>
      <c r="F22" s="5">
        <f>SUM(F23:F25)</f>
        <v/>
      </c>
      <c r="G22" s="5">
        <f>SUM(G23:G25)</f>
        <v/>
      </c>
      <c r="H22" s="5">
        <f>SUM(H23:H25)</f>
        <v/>
      </c>
      <c r="I22" s="5">
        <f>SUM(I23:I25)</f>
        <v/>
      </c>
      <c r="J22" s="5">
        <f>SUM(J23:J25)</f>
        <v/>
      </c>
      <c r="K22" s="6" t="inlineStr">
        <is>
          <t>Done</t>
        </is>
      </c>
      <c r="L22" s="5" t="n"/>
    </row>
    <row r="23">
      <c r="A23" s="7" t="inlineStr">
        <is>
          <t>GET /orders?start_date=&amp;end_date= with inclusive day bounds</t>
        </is>
      </c>
      <c r="B23" s="8" t="n"/>
      <c r="C23" s="9" t="inlineStr">
        <is>
          <t>Smriti Bhemireddy</t>
        </is>
      </c>
      <c r="D23" s="10" t="n">
        <v>1</v>
      </c>
      <c r="E23" s="10" t="n">
        <v>1</v>
      </c>
      <c r="F23" s="10" t="n">
        <v>0.5</v>
      </c>
      <c r="G23" s="10" t="n">
        <v>0.5</v>
      </c>
      <c r="H23" s="10" t="n">
        <v>0</v>
      </c>
      <c r="I23" s="10" t="n">
        <v>0</v>
      </c>
      <c r="J23" s="10" t="n">
        <v>0</v>
      </c>
      <c r="K23" s="9" t="n"/>
      <c r="L23" s="10" t="n">
        <v>0</v>
      </c>
    </row>
    <row r="24" ht="15.75" customHeight="1" s="15">
      <c r="A24" s="7" t="inlineStr">
        <is>
          <t>Handle one-sided bounds and empty ranges</t>
        </is>
      </c>
      <c r="B24" s="8" t="n"/>
      <c r="C24" s="9" t="inlineStr">
        <is>
          <t>Smriti Bhemireddy</t>
        </is>
      </c>
      <c r="D24" s="10" t="n">
        <v>0.5</v>
      </c>
      <c r="E24" s="10" t="n">
        <v>0.5</v>
      </c>
      <c r="F24" s="10" t="n">
        <v>0.5</v>
      </c>
      <c r="G24" s="10" t="n">
        <v>0</v>
      </c>
      <c r="H24" s="10" t="n">
        <v>0</v>
      </c>
      <c r="I24" s="10" t="n">
        <v>0</v>
      </c>
      <c r="J24" s="10" t="n">
        <v>0</v>
      </c>
      <c r="K24" s="9" t="n"/>
      <c r="L24" s="10" t="n">
        <v>0</v>
      </c>
    </row>
    <row r="25">
      <c r="A25" s="7" t="inlineStr">
        <is>
          <t>test_orders_filter_date.py - 5 cases</t>
        </is>
      </c>
      <c r="B25" s="8" t="n"/>
      <c r="C25" s="9" t="inlineStr">
        <is>
          <t>Smriti Bhemireddy</t>
        </is>
      </c>
      <c r="D25" s="10" t="n">
        <v>0.5</v>
      </c>
      <c r="E25" s="10" t="n">
        <v>0.5</v>
      </c>
      <c r="F25" s="10" t="n">
        <v>0.5</v>
      </c>
      <c r="G25" s="10" t="n">
        <v>0</v>
      </c>
      <c r="H25" s="10" t="n">
        <v>0</v>
      </c>
      <c r="I25" s="10" t="n">
        <v>0</v>
      </c>
      <c r="J25" s="10" t="n">
        <v>0</v>
      </c>
      <c r="K25" s="9" t="n"/>
      <c r="L25" s="10" t="n">
        <v>0</v>
      </c>
    </row>
    <row r="26">
      <c r="A26" s="3" t="inlineStr">
        <is>
          <t>User Story #10 - Identify Low-Performing Dishes</t>
        </is>
      </c>
      <c r="B26" s="4" t="n">
        <v>5</v>
      </c>
      <c r="C26" s="5" t="n"/>
      <c r="D26" s="5">
        <f>SUM(D27:D29)</f>
        <v/>
      </c>
      <c r="E26" s="5">
        <f>SUM(E27:E29)</f>
        <v/>
      </c>
      <c r="F26" s="5">
        <f>SUM(F27:F29)</f>
        <v/>
      </c>
      <c r="G26" s="5">
        <f>SUM(G27:G29)</f>
        <v/>
      </c>
      <c r="H26" s="5">
        <f>SUM(H27:H29)</f>
        <v/>
      </c>
      <c r="I26" s="5">
        <f>SUM(I27:I29)</f>
        <v/>
      </c>
      <c r="J26" s="5">
        <f>SUM(J27:J29)</f>
        <v/>
      </c>
      <c r="K26" s="6" t="inlineStr">
        <is>
          <t>Done</t>
        </is>
      </c>
      <c r="L26" s="5" t="n"/>
    </row>
    <row r="27">
      <c r="A27" s="7" t="inlineStr">
        <is>
          <t>GET /reports/low-performing aggregating average rating and order counts</t>
        </is>
      </c>
      <c r="B27" s="8" t="n"/>
      <c r="C27" s="9" t="inlineStr">
        <is>
          <t>Smriti Bhemireddy</t>
        </is>
      </c>
      <c r="D27" s="10" t="n">
        <v>1.5</v>
      </c>
      <c r="E27" s="10" t="n">
        <v>1.5</v>
      </c>
      <c r="F27" s="10" t="n">
        <v>1</v>
      </c>
      <c r="G27" s="10" t="n">
        <v>0.5</v>
      </c>
      <c r="H27" s="10" t="n">
        <v>0</v>
      </c>
      <c r="I27" s="10" t="n">
        <v>0</v>
      </c>
      <c r="J27" s="10" t="n">
        <v>0</v>
      </c>
      <c r="K27" s="9" t="n"/>
      <c r="L27" s="10" t="n">
        <v>0</v>
      </c>
    </row>
    <row r="28">
      <c r="A28" s="7" t="inlineStr">
        <is>
          <t>Configurable max_avg_rating and max_order_count thresholds</t>
        </is>
      </c>
      <c r="B28" s="8" t="n"/>
      <c r="C28" s="9" t="inlineStr">
        <is>
          <t>Smriti Bhemireddy</t>
        </is>
      </c>
      <c r="D28" s="10" t="n">
        <v>1</v>
      </c>
      <c r="E28" s="10" t="n">
        <v>1</v>
      </c>
      <c r="F28" s="10" t="n">
        <v>0.5</v>
      </c>
      <c r="G28" s="10" t="n">
        <v>0.5</v>
      </c>
      <c r="H28" s="10" t="n">
        <v>0</v>
      </c>
      <c r="I28" s="10" t="n">
        <v>0</v>
      </c>
      <c r="J28" s="10" t="n">
        <v>0</v>
      </c>
      <c r="K28" s="9" t="n"/>
      <c r="L28" s="10" t="n">
        <v>0</v>
      </c>
    </row>
    <row r="29">
      <c r="A29" s="7" t="inlineStr">
        <is>
          <t>test_low_performing_dishes.py - 4 cases</t>
        </is>
      </c>
      <c r="B29" s="8" t="n"/>
      <c r="C29" s="9" t="inlineStr">
        <is>
          <t>Smriti Bhemireddy</t>
        </is>
      </c>
      <c r="D29" s="10" t="n">
        <v>0.5</v>
      </c>
      <c r="E29" s="10" t="n">
        <v>0.5</v>
      </c>
      <c r="F29" s="10" t="n">
        <v>0.5</v>
      </c>
      <c r="G29" s="10" t="n">
        <v>0.5</v>
      </c>
      <c r="H29" s="10" t="n">
        <v>0</v>
      </c>
      <c r="I29" s="10" t="n">
        <v>0</v>
      </c>
      <c r="J29" s="10" t="n">
        <v>0</v>
      </c>
      <c r="K29" s="9" t="n"/>
      <c r="L29" s="10" t="n">
        <v>0</v>
      </c>
    </row>
    <row r="30">
      <c r="A30" s="3" t="inlineStr">
        <is>
          <t>User Story #11 - View Complaint / Review Reasons</t>
        </is>
      </c>
      <c r="B30" s="4" t="n">
        <v>5</v>
      </c>
      <c r="C30" s="5" t="n"/>
      <c r="D30" s="5">
        <f>SUM(D31:D33)</f>
        <v/>
      </c>
      <c r="E30" s="5">
        <f>SUM(E31:E33)</f>
        <v/>
      </c>
      <c r="F30" s="5">
        <f>SUM(F31:F33)</f>
        <v/>
      </c>
      <c r="G30" s="5">
        <f>SUM(G31:G33)</f>
        <v/>
      </c>
      <c r="H30" s="5">
        <f>SUM(H31:H33)</f>
        <v/>
      </c>
      <c r="I30" s="5">
        <f>SUM(I31:I33)</f>
        <v/>
      </c>
      <c r="J30" s="5">
        <f>SUM(J31:J33)</f>
        <v/>
      </c>
      <c r="K30" s="6" t="inlineStr">
        <is>
          <t>Done</t>
        </is>
      </c>
      <c r="L30" s="5" t="n"/>
    </row>
    <row r="31">
      <c r="A31" s="7" t="inlineStr">
        <is>
          <t>Reviews CRUD (PK reviewID) and the /reviews router</t>
        </is>
      </c>
      <c r="B31" s="8" t="n"/>
      <c r="C31" s="9" t="inlineStr">
        <is>
          <t>Smriti Bhemireddy</t>
        </is>
      </c>
      <c r="D31" s="10" t="n">
        <v>1.5</v>
      </c>
      <c r="E31" s="10" t="n">
        <v>0.5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9" t="n"/>
      <c r="L31" s="10" t="n">
        <v>0</v>
      </c>
    </row>
    <row r="32">
      <c r="A32" s="7" t="inlineStr">
        <is>
          <t>Surface complaint comments (rating &lt;= 2) inside the low-performing report</t>
        </is>
      </c>
      <c r="B32" s="8" t="n"/>
      <c r="C32" s="9" t="inlineStr">
        <is>
          <t>Smriti Bhemireddy</t>
        </is>
      </c>
      <c r="D32" s="10" t="n">
        <v>1</v>
      </c>
      <c r="E32" s="10" t="n">
        <v>1</v>
      </c>
      <c r="F32" s="10" t="n">
        <v>0.5</v>
      </c>
      <c r="G32" s="10" t="n">
        <v>0.5</v>
      </c>
      <c r="H32" s="10" t="n">
        <v>0</v>
      </c>
      <c r="I32" s="10" t="n">
        <v>0</v>
      </c>
      <c r="J32" s="10" t="n">
        <v>0</v>
      </c>
      <c r="K32" s="9" t="n"/>
      <c r="L32" s="10" t="n">
        <v>0</v>
      </c>
    </row>
    <row r="33">
      <c r="A33" s="7" t="inlineStr">
        <is>
          <t>test_reviews.py including the invalid-rating 422 case</t>
        </is>
      </c>
      <c r="B33" s="8" t="n"/>
      <c r="C33" s="9" t="inlineStr">
        <is>
          <t>Smriti Bhemireddy</t>
        </is>
      </c>
      <c r="D33" s="10" t="n">
        <v>0.5</v>
      </c>
      <c r="E33" s="10" t="n">
        <v>0.5</v>
      </c>
      <c r="F33" s="10" t="n">
        <v>0.5</v>
      </c>
      <c r="G33" s="10" t="n">
        <v>0</v>
      </c>
      <c r="H33" s="10" t="n">
        <v>0</v>
      </c>
      <c r="I33" s="10" t="n">
        <v>0</v>
      </c>
      <c r="J33" s="10" t="n">
        <v>0</v>
      </c>
      <c r="K33" s="9" t="n"/>
      <c r="L33" s="10" t="n">
        <v>0</v>
      </c>
    </row>
    <row r="34">
      <c r="A34" s="3" t="inlineStr">
        <is>
          <t>User Story #12 - Create / Manage Promo Codes</t>
        </is>
      </c>
      <c r="B34" s="4" t="n">
        <v>5</v>
      </c>
      <c r="C34" s="5" t="n"/>
      <c r="D34" s="5">
        <f>SUM(D35:D37)</f>
        <v/>
      </c>
      <c r="E34" s="5">
        <f>SUM(E35:E37)</f>
        <v/>
      </c>
      <c r="F34" s="5">
        <f>SUM(F35:F37)</f>
        <v/>
      </c>
      <c r="G34" s="5">
        <f>SUM(G35:G37)</f>
        <v/>
      </c>
      <c r="H34" s="5">
        <f>SUM(H35:H37)</f>
        <v/>
      </c>
      <c r="I34" s="5">
        <f>SUM(I35:I37)</f>
        <v/>
      </c>
      <c r="J34" s="5">
        <f>SUM(J35:J37)</f>
        <v/>
      </c>
      <c r="K34" s="6" t="inlineStr">
        <is>
          <t>Done</t>
        </is>
      </c>
      <c r="L34" s="5" t="n"/>
    </row>
    <row r="35">
      <c r="A35" s="7" t="inlineStr">
        <is>
          <t>PromoCode model with a string PK and managerID foreign key</t>
        </is>
      </c>
      <c r="B35" s="8" t="n"/>
      <c r="C35" s="9" t="inlineStr">
        <is>
          <t>Smriti Bhemireddy</t>
        </is>
      </c>
      <c r="D35" s="10" t="n">
        <v>1</v>
      </c>
      <c r="E35" s="10" t="n">
        <v>1</v>
      </c>
      <c r="F35" s="10" t="n">
        <v>0.5</v>
      </c>
      <c r="G35" s="10" t="n">
        <v>0.5</v>
      </c>
      <c r="H35" s="10" t="n">
        <v>0</v>
      </c>
      <c r="I35" s="10" t="n">
        <v>0</v>
      </c>
      <c r="J35" s="10" t="n">
        <v>0</v>
      </c>
      <c r="K35" s="9" t="n"/>
      <c r="L35" s="10" t="n">
        <v>0</v>
      </c>
    </row>
    <row r="36">
      <c r="A36" s="7" t="inlineStr">
        <is>
          <t>promo_codes controller and /promocodes/{promo_code} routes</t>
        </is>
      </c>
      <c r="B36" s="8" t="n"/>
      <c r="C36" s="9" t="inlineStr">
        <is>
          <t>Smriti Bhemireddy</t>
        </is>
      </c>
      <c r="D36" s="10" t="n">
        <v>1</v>
      </c>
      <c r="E36" s="10" t="n">
        <v>1</v>
      </c>
      <c r="F36" s="10" t="n">
        <v>0.5</v>
      </c>
      <c r="G36" s="10" t="n">
        <v>0.5</v>
      </c>
      <c r="H36" s="10" t="n">
        <v>0</v>
      </c>
      <c r="I36" s="10" t="n">
        <v>0</v>
      </c>
      <c r="J36" s="10" t="n">
        <v>0</v>
      </c>
      <c r="K36" s="9" t="n"/>
      <c r="L36" s="10" t="n">
        <v>0</v>
      </c>
    </row>
    <row r="37">
      <c r="A37" s="7" t="inlineStr">
        <is>
          <t>test_promo_codes.py - deactivate, change discount, 404s</t>
        </is>
      </c>
      <c r="B37" s="8" t="n"/>
      <c r="C37" s="9" t="inlineStr">
        <is>
          <t>Smriti Bhemireddy</t>
        </is>
      </c>
      <c r="D37" s="10" t="n">
        <v>1</v>
      </c>
      <c r="E37" s="10" t="n">
        <v>1</v>
      </c>
      <c r="F37" s="10" t="n">
        <v>1</v>
      </c>
      <c r="G37" s="10" t="n">
        <v>0.5</v>
      </c>
      <c r="H37" s="10" t="n">
        <v>0.5</v>
      </c>
      <c r="I37" s="10" t="n">
        <v>0</v>
      </c>
      <c r="J37" s="10" t="n">
        <v>0</v>
      </c>
      <c r="K37" s="9" t="n"/>
      <c r="L37" s="10" t="n">
        <v>0</v>
      </c>
    </row>
    <row r="38">
      <c r="A38" s="3" t="inlineStr">
        <is>
          <t>User Story #19 - Pay Cash On Delivery / Pickup</t>
        </is>
      </c>
      <c r="B38" s="4" t="n">
        <v>3</v>
      </c>
      <c r="C38" s="5" t="n"/>
      <c r="D38" s="5">
        <f>SUM(D39:D41)</f>
        <v/>
      </c>
      <c r="E38" s="5">
        <f>SUM(E39:E41)</f>
        <v/>
      </c>
      <c r="F38" s="5">
        <f>SUM(F39:F41)</f>
        <v/>
      </c>
      <c r="G38" s="5">
        <f>SUM(G39:G41)</f>
        <v/>
      </c>
      <c r="H38" s="5">
        <f>SUM(H39:H41)</f>
        <v/>
      </c>
      <c r="I38" s="5">
        <f>SUM(I39:I41)</f>
        <v/>
      </c>
      <c r="J38" s="5">
        <f>SUM(J39:J41)</f>
        <v/>
      </c>
      <c r="K38" s="6" t="inlineStr">
        <is>
          <t>Done</t>
        </is>
      </c>
      <c r="L38" s="5" t="n"/>
    </row>
    <row r="39">
      <c r="A39" s="7" t="inlineStr">
        <is>
          <t>Support a cash paymentMethod alongside card payments</t>
        </is>
      </c>
      <c r="B39" s="8" t="n"/>
      <c r="C39" s="9" t="inlineStr">
        <is>
          <t>Smriti Bhemireddy</t>
        </is>
      </c>
      <c r="D39" s="10" t="n">
        <v>0.5</v>
      </c>
      <c r="E39" s="10" t="n">
        <v>0.5</v>
      </c>
      <c r="F39" s="10" t="n">
        <v>0.5</v>
      </c>
      <c r="G39" s="10" t="n">
        <v>0</v>
      </c>
      <c r="H39" s="10" t="n">
        <v>0</v>
      </c>
      <c r="I39" s="10" t="n">
        <v>0</v>
      </c>
      <c r="J39" s="10" t="n">
        <v>0</v>
      </c>
      <c r="K39" s="9" t="n"/>
      <c r="L39" s="10" t="n">
        <v>0</v>
      </c>
    </row>
    <row r="40">
      <c r="A40" s="7" t="inlineStr">
        <is>
          <t>Allow the pending -&gt; paid transition at pickup or delivery</t>
        </is>
      </c>
      <c r="B40" s="8" t="n"/>
      <c r="C40" s="9" t="inlineStr">
        <is>
          <t>Smriti Bhemireddy</t>
        </is>
      </c>
      <c r="D40" s="10" t="n">
        <v>0.5</v>
      </c>
      <c r="E40" s="10" t="n">
        <v>0.5</v>
      </c>
      <c r="F40" s="10" t="n">
        <v>0.5</v>
      </c>
      <c r="G40" s="10" t="n">
        <v>0</v>
      </c>
      <c r="H40" s="10" t="n">
        <v>0</v>
      </c>
      <c r="I40" s="10" t="n">
        <v>0</v>
      </c>
      <c r="J40" s="10" t="n">
        <v>0</v>
      </c>
      <c r="K40" s="9" t="n"/>
      <c r="L40" s="10" t="n">
        <v>0</v>
      </c>
    </row>
    <row r="41">
      <c r="A41" s="7" t="inlineStr">
        <is>
          <t>Payment-method tests</t>
        </is>
      </c>
      <c r="B41" s="8" t="n"/>
      <c r="C41" s="9" t="inlineStr">
        <is>
          <t>Smriti Bhemireddy</t>
        </is>
      </c>
      <c r="D41" s="10" t="n">
        <v>0.5</v>
      </c>
      <c r="E41" s="10" t="n">
        <v>0.5</v>
      </c>
      <c r="F41" s="10" t="n">
        <v>0.5</v>
      </c>
      <c r="G41" s="10" t="n">
        <v>0</v>
      </c>
      <c r="H41" s="10" t="n">
        <v>0</v>
      </c>
      <c r="I41" s="10" t="n">
        <v>0</v>
      </c>
      <c r="J41" s="10" t="n">
        <v>0</v>
      </c>
      <c r="K41" s="9" t="n"/>
      <c r="L41" s="10" t="n">
        <v>0</v>
      </c>
    </row>
    <row r="42">
      <c r="A42" s="3" t="inlineStr">
        <is>
          <t>User Story #20 - Choose Takeout Or Delivery</t>
        </is>
      </c>
      <c r="B42" s="4" t="n">
        <v>3</v>
      </c>
      <c r="C42" s="5" t="n"/>
      <c r="D42" s="5">
        <f>SUM(D43:D45)</f>
        <v/>
      </c>
      <c r="E42" s="5">
        <f>SUM(E43:E45)</f>
        <v/>
      </c>
      <c r="F42" s="5">
        <f>SUM(F43:F45)</f>
        <v/>
      </c>
      <c r="G42" s="5">
        <f>SUM(G43:G45)</f>
        <v/>
      </c>
      <c r="H42" s="5">
        <f>SUM(H43:H45)</f>
        <v/>
      </c>
      <c r="I42" s="5">
        <f>SUM(I43:I45)</f>
        <v/>
      </c>
      <c r="J42" s="5">
        <f>SUM(J43:J45)</f>
        <v/>
      </c>
      <c r="K42" s="6" t="inlineStr">
        <is>
          <t>Done</t>
        </is>
      </c>
      <c r="L42" s="5" t="n"/>
    </row>
    <row r="43">
      <c r="A43" s="7" t="inlineStr">
        <is>
          <t>Validate orderType on order create and update</t>
        </is>
      </c>
      <c r="B43" s="8" t="n"/>
      <c r="C43" s="9" t="inlineStr">
        <is>
          <t>Smriti Bhemireddy</t>
        </is>
      </c>
      <c r="D43" s="10" t="n">
        <v>0.5</v>
      </c>
      <c r="E43" s="10" t="n">
        <v>0</v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9" t="n"/>
      <c r="L43" s="10" t="n">
        <v>0</v>
      </c>
    </row>
    <row r="44">
      <c r="A44" s="7" t="inlineStr">
        <is>
          <t>Return orderType in order responses and in the tracking view</t>
        </is>
      </c>
      <c r="B44" s="8" t="n"/>
      <c r="C44" s="9" t="inlineStr">
        <is>
          <t>Smriti Bhemireddy</t>
        </is>
      </c>
      <c r="D44" s="10" t="n">
        <v>0.5</v>
      </c>
      <c r="E44" s="10" t="n">
        <v>0.5</v>
      </c>
      <c r="F44" s="10" t="n">
        <v>0.5</v>
      </c>
      <c r="G44" s="10" t="n">
        <v>0</v>
      </c>
      <c r="H44" s="10" t="n">
        <v>0</v>
      </c>
      <c r="I44" s="10" t="n">
        <v>0</v>
      </c>
      <c r="J44" s="10" t="n">
        <v>0</v>
      </c>
      <c r="K44" s="9" t="n"/>
      <c r="L44" s="10" t="n">
        <v>0</v>
      </c>
    </row>
    <row r="45">
      <c r="A45" s="7" t="inlineStr">
        <is>
          <t>Order-type tests</t>
        </is>
      </c>
      <c r="B45" s="8" t="n"/>
      <c r="C45" s="9" t="inlineStr">
        <is>
          <t>Smriti Bhemireddy</t>
        </is>
      </c>
      <c r="D45" s="10" t="n">
        <v>0.5</v>
      </c>
      <c r="E45" s="10" t="n">
        <v>0.5</v>
      </c>
      <c r="F45" s="10" t="n">
        <v>0.5</v>
      </c>
      <c r="G45" s="10" t="n">
        <v>0</v>
      </c>
      <c r="H45" s="10" t="n">
        <v>0</v>
      </c>
      <c r="I45" s="10" t="n">
        <v>0</v>
      </c>
      <c r="J45" s="10" t="n">
        <v>0</v>
      </c>
      <c r="K45" s="9" t="n"/>
      <c r="L45" s="10" t="n">
        <v>0</v>
      </c>
    </row>
    <row r="46">
      <c r="A46" s="3" t="inlineStr">
        <is>
          <t>User Story #21 - Estimated Ready / Delivery Time</t>
        </is>
      </c>
      <c r="B46" s="4" t="n">
        <v>3</v>
      </c>
      <c r="C46" s="5" t="n"/>
      <c r="D46" s="5">
        <f>SUM(D47:D49)</f>
        <v/>
      </c>
      <c r="E46" s="5">
        <f>SUM(E47:E49)</f>
        <v/>
      </c>
      <c r="F46" s="5">
        <f>SUM(F47:F49)</f>
        <v/>
      </c>
      <c r="G46" s="5">
        <f>SUM(G47:G49)</f>
        <v/>
      </c>
      <c r="H46" s="5">
        <f>SUM(H47:H49)</f>
        <v/>
      </c>
      <c r="I46" s="5">
        <f>SUM(I47:I49)</f>
        <v/>
      </c>
      <c r="J46" s="5">
        <f>SUM(J47:J49)</f>
        <v/>
      </c>
      <c r="K46" s="6" t="inlineStr">
        <is>
          <t>Done</t>
        </is>
      </c>
      <c r="L46" s="5" t="n"/>
    </row>
    <row r="47">
      <c r="A47" s="7" t="inlineStr">
        <is>
          <t>Surface estimatedTime through order create and update</t>
        </is>
      </c>
      <c r="B47" s="8" t="n"/>
      <c r="C47" s="9" t="inlineStr">
        <is>
          <t>Smriti Bhemireddy</t>
        </is>
      </c>
      <c r="D47" s="10" t="n">
        <v>0.5</v>
      </c>
      <c r="E47" s="10" t="n">
        <v>0.5</v>
      </c>
      <c r="F47" s="10" t="n">
        <v>0.5</v>
      </c>
      <c r="G47" s="10" t="n">
        <v>0</v>
      </c>
      <c r="H47" s="10" t="n">
        <v>0</v>
      </c>
      <c r="I47" s="10" t="n">
        <v>0</v>
      </c>
      <c r="J47" s="10" t="n">
        <v>0</v>
      </c>
      <c r="K47" s="9" t="n"/>
      <c r="L47" s="10" t="n">
        <v>0</v>
      </c>
    </row>
    <row r="48">
      <c r="A48" s="7" t="inlineStr">
        <is>
          <t>Include estimatedTime in the tracking response</t>
        </is>
      </c>
      <c r="B48" s="8" t="n"/>
      <c r="C48" s="9" t="inlineStr">
        <is>
          <t>Smriti Bhemireddy</t>
        </is>
      </c>
      <c r="D48" s="10" t="n">
        <v>0.5</v>
      </c>
      <c r="E48" s="10" t="n">
        <v>0.5</v>
      </c>
      <c r="F48" s="10" t="n">
        <v>0.5</v>
      </c>
      <c r="G48" s="10" t="n">
        <v>0</v>
      </c>
      <c r="H48" s="10" t="n">
        <v>0</v>
      </c>
      <c r="I48" s="10" t="n">
        <v>0</v>
      </c>
      <c r="J48" s="10" t="n">
        <v>0</v>
      </c>
      <c r="K48" s="9" t="n"/>
      <c r="L48" s="10" t="n">
        <v>0</v>
      </c>
    </row>
    <row r="49">
      <c r="A49" s="7" t="inlineStr">
        <is>
          <t>Estimated-time tests</t>
        </is>
      </c>
      <c r="B49" s="8" t="n"/>
      <c r="C49" s="9" t="inlineStr">
        <is>
          <t>Smriti Bhemireddy</t>
        </is>
      </c>
      <c r="D49" s="10" t="n">
        <v>0.5</v>
      </c>
      <c r="E49" s="10" t="n">
        <v>0.5</v>
      </c>
      <c r="F49" s="10" t="n">
        <v>0.5</v>
      </c>
      <c r="G49" s="10" t="n">
        <v>0</v>
      </c>
      <c r="H49" s="10" t="n">
        <v>0</v>
      </c>
      <c r="I49" s="10" t="n">
        <v>0</v>
      </c>
      <c r="J49" s="10" t="n">
        <v>0</v>
      </c>
      <c r="K49" s="9" t="n"/>
      <c r="L49" s="10" t="n">
        <v>0</v>
      </c>
    </row>
    <row r="50">
      <c r="A50" s="3" t="inlineStr">
        <is>
          <t>User Story #23 - Real-Time Status Updates</t>
        </is>
      </c>
      <c r="B50" s="4" t="n">
        <v>5</v>
      </c>
      <c r="C50" s="5" t="n"/>
      <c r="D50" s="5">
        <f>SUM(D51:D53)</f>
        <v/>
      </c>
      <c r="E50" s="5">
        <f>SUM(E51:E53)</f>
        <v/>
      </c>
      <c r="F50" s="5">
        <f>SUM(F51:F53)</f>
        <v/>
      </c>
      <c r="G50" s="5">
        <f>SUM(G51:G53)</f>
        <v/>
      </c>
      <c r="H50" s="5">
        <f>SUM(H51:H53)</f>
        <v/>
      </c>
      <c r="I50" s="5">
        <f>SUM(I51:I53)</f>
        <v/>
      </c>
      <c r="J50" s="5">
        <f>SUM(J51:J53)</f>
        <v/>
      </c>
      <c r="K50" s="6" t="inlineStr">
        <is>
          <t>Done</t>
        </is>
      </c>
      <c r="L50" s="5" t="n"/>
    </row>
    <row r="51">
      <c r="A51" s="7" t="inlineStr">
        <is>
          <t>Status transition handling through PUT /orders/{order_id}</t>
        </is>
      </c>
      <c r="B51" s="8" t="n"/>
      <c r="C51" s="9" t="inlineStr">
        <is>
          <t>Smriti Bhemireddy</t>
        </is>
      </c>
      <c r="D51" s="10" t="n">
        <v>1</v>
      </c>
      <c r="E51" s="10" t="n">
        <v>1</v>
      </c>
      <c r="F51" s="10" t="n">
        <v>0.5</v>
      </c>
      <c r="G51" s="10" t="n">
        <v>0.5</v>
      </c>
      <c r="H51" s="10" t="n">
        <v>0</v>
      </c>
      <c r="I51" s="10" t="n">
        <v>0</v>
      </c>
      <c r="J51" s="10" t="n">
        <v>0</v>
      </c>
      <c r="K51" s="9" t="n"/>
      <c r="L51" s="10" t="n">
        <v>0</v>
      </c>
    </row>
    <row r="52">
      <c r="A52" s="7" t="inlineStr">
        <is>
          <t>Reflect the latest status in GET /orders/{order_id}/tracking</t>
        </is>
      </c>
      <c r="B52" s="8" t="n"/>
      <c r="C52" s="9" t="inlineStr">
        <is>
          <t>Smriti Bhemireddy</t>
        </is>
      </c>
      <c r="D52" s="10" t="n">
        <v>1</v>
      </c>
      <c r="E52" s="10" t="n">
        <v>1</v>
      </c>
      <c r="F52" s="10" t="n">
        <v>0.5</v>
      </c>
      <c r="G52" s="10" t="n">
        <v>0.5</v>
      </c>
      <c r="H52" s="10" t="n">
        <v>0</v>
      </c>
      <c r="I52" s="10" t="n">
        <v>0</v>
      </c>
      <c r="J52" s="10" t="n">
        <v>0</v>
      </c>
      <c r="K52" s="9" t="n"/>
      <c r="L52" s="10" t="n">
        <v>0</v>
      </c>
    </row>
    <row r="53">
      <c r="A53" s="7" t="inlineStr">
        <is>
          <t>Status-update tests</t>
        </is>
      </c>
      <c r="B53" s="8" t="n"/>
      <c r="C53" s="9" t="inlineStr">
        <is>
          <t>Smriti Bhemireddy</t>
        </is>
      </c>
      <c r="D53" s="10" t="n">
        <v>0.5</v>
      </c>
      <c r="E53" s="10" t="n">
        <v>0.5</v>
      </c>
      <c r="F53" s="10" t="n">
        <v>0.5</v>
      </c>
      <c r="G53" s="10" t="n">
        <v>0.5</v>
      </c>
      <c r="H53" s="10" t="n">
        <v>0</v>
      </c>
      <c r="I53" s="10" t="n">
        <v>0</v>
      </c>
      <c r="J53" s="10" t="n">
        <v>0</v>
      </c>
      <c r="K53" s="9" t="n"/>
      <c r="L53" s="10" t="n">
        <v>0</v>
      </c>
    </row>
    <row r="54">
      <c r="A54" s="3" t="inlineStr">
        <is>
          <t>User Story #24 - Search / Filter By Dietary Type</t>
        </is>
      </c>
      <c r="B54" s="4" t="n">
        <v>5</v>
      </c>
      <c r="C54" s="5" t="n"/>
      <c r="D54" s="5">
        <f>SUM(D55:D57)</f>
        <v/>
      </c>
      <c r="E54" s="5">
        <f>SUM(E55:E57)</f>
        <v/>
      </c>
      <c r="F54" s="5">
        <f>SUM(F55:F57)</f>
        <v/>
      </c>
      <c r="G54" s="5">
        <f>SUM(G55:G57)</f>
        <v/>
      </c>
      <c r="H54" s="5">
        <f>SUM(H55:H57)</f>
        <v/>
      </c>
      <c r="I54" s="5">
        <f>SUM(I55:I57)</f>
        <v/>
      </c>
      <c r="J54" s="5">
        <f>SUM(J55:J57)</f>
        <v/>
      </c>
      <c r="K54" s="6" t="inlineStr">
        <is>
          <t>Done</t>
        </is>
      </c>
      <c r="L54" s="5" t="n"/>
    </row>
    <row r="55">
      <c r="A55" s="7" t="inlineStr">
        <is>
          <t>GET /menuitems?dietary_type= filter</t>
        </is>
      </c>
      <c r="B55" s="8" t="n"/>
      <c r="C55" s="9" t="inlineStr">
        <is>
          <t>Smriti Bhemireddy</t>
        </is>
      </c>
      <c r="D55" s="10" t="n">
        <v>1</v>
      </c>
      <c r="E55" s="10" t="n">
        <v>1</v>
      </c>
      <c r="F55" s="10" t="n">
        <v>0.5</v>
      </c>
      <c r="G55" s="10" t="n">
        <v>0.5</v>
      </c>
      <c r="H55" s="10" t="n">
        <v>0</v>
      </c>
      <c r="I55" s="10" t="n">
        <v>0</v>
      </c>
      <c r="J55" s="10" t="n">
        <v>0</v>
      </c>
      <c r="K55" s="9" t="n"/>
      <c r="L55" s="10" t="n">
        <v>0</v>
      </c>
    </row>
    <row r="56">
      <c r="A56" s="7" t="inlineStr">
        <is>
          <t>Make the filter combinable with keyword search</t>
        </is>
      </c>
      <c r="B56" s="8" t="n"/>
      <c r="C56" s="9" t="inlineStr">
        <is>
          <t>Smriti Bhemireddy</t>
        </is>
      </c>
      <c r="D56" s="10" t="n">
        <v>0.5</v>
      </c>
      <c r="E56" s="10" t="n">
        <v>0.5</v>
      </c>
      <c r="F56" s="10" t="n">
        <v>0.5</v>
      </c>
      <c r="G56" s="10" t="n">
        <v>0.5</v>
      </c>
      <c r="H56" s="10" t="n">
        <v>0</v>
      </c>
      <c r="I56" s="10" t="n">
        <v>0</v>
      </c>
      <c r="J56" s="10" t="n">
        <v>0</v>
      </c>
      <c r="K56" s="9" t="n"/>
      <c r="L56" s="10" t="n">
        <v>0</v>
      </c>
    </row>
    <row r="57">
      <c r="A57" s="7" t="inlineStr">
        <is>
          <t>test_menu_search.py dietary cases</t>
        </is>
      </c>
      <c r="B57" s="8" t="n"/>
      <c r="C57" s="9" t="inlineStr">
        <is>
          <t>Smriti Bhemireddy</t>
        </is>
      </c>
      <c r="D57" s="10" t="n">
        <v>0.5</v>
      </c>
      <c r="E57" s="10" t="n">
        <v>0.5</v>
      </c>
      <c r="F57" s="10" t="n">
        <v>0.5</v>
      </c>
      <c r="G57" s="10" t="n">
        <v>0.5</v>
      </c>
      <c r="H57" s="10" t="n">
        <v>0</v>
      </c>
      <c r="I57" s="10" t="n">
        <v>0</v>
      </c>
      <c r="J57" s="10" t="n">
        <v>0</v>
      </c>
      <c r="K57" s="9" t="n"/>
      <c r="L57" s="10" t="n">
        <v>0</v>
      </c>
    </row>
    <row r="58">
      <c r="A58" s="3" t="inlineStr">
        <is>
          <t>User Story #25 - Keyword Search</t>
        </is>
      </c>
      <c r="B58" s="4" t="n">
        <v>3</v>
      </c>
      <c r="C58" s="5" t="n"/>
      <c r="D58" s="5">
        <f>SUM(D59:D61)</f>
        <v/>
      </c>
      <c r="E58" s="5">
        <f>SUM(E59:E61)</f>
        <v/>
      </c>
      <c r="F58" s="5">
        <f>SUM(F59:F61)</f>
        <v/>
      </c>
      <c r="G58" s="5">
        <f>SUM(G59:G61)</f>
        <v/>
      </c>
      <c r="H58" s="5">
        <f>SUM(H59:H61)</f>
        <v/>
      </c>
      <c r="I58" s="5">
        <f>SUM(I59:I61)</f>
        <v/>
      </c>
      <c r="J58" s="5">
        <f>SUM(J59:J61)</f>
        <v/>
      </c>
      <c r="K58" s="6" t="inlineStr">
        <is>
          <t>Done</t>
        </is>
      </c>
      <c r="L58" s="5" t="n"/>
    </row>
    <row r="59">
      <c r="A59" s="7" t="inlineStr">
        <is>
          <t>GET /menuitems?q= searching name and description</t>
        </is>
      </c>
      <c r="B59" s="8" t="n"/>
      <c r="C59" s="9" t="inlineStr">
        <is>
          <t>Smriti Bhemireddy</t>
        </is>
      </c>
      <c r="D59" s="10" t="n">
        <v>1</v>
      </c>
      <c r="E59" s="10" t="n">
        <v>1</v>
      </c>
      <c r="F59" s="10" t="n">
        <v>1</v>
      </c>
      <c r="G59" s="10" t="n">
        <v>0.5</v>
      </c>
      <c r="H59" s="10" t="n">
        <v>0.5</v>
      </c>
      <c r="I59" s="10" t="n">
        <v>0</v>
      </c>
      <c r="J59" s="10" t="n">
        <v>0</v>
      </c>
      <c r="K59" s="9" t="n"/>
      <c r="L59" s="10" t="n">
        <v>0</v>
      </c>
    </row>
    <row r="60">
      <c r="A60" s="7" t="inlineStr">
        <is>
          <t>Case-insensitive partial matching</t>
        </is>
      </c>
      <c r="B60" s="8" t="n"/>
      <c r="C60" s="9" t="inlineStr">
        <is>
          <t>Smriti Bhemireddy</t>
        </is>
      </c>
      <c r="D60" s="10" t="n">
        <v>0.5</v>
      </c>
      <c r="E60" s="10" t="n">
        <v>0.5</v>
      </c>
      <c r="F60" s="10" t="n">
        <v>0.5</v>
      </c>
      <c r="G60" s="10" t="n">
        <v>0.5</v>
      </c>
      <c r="H60" s="10" t="n">
        <v>0</v>
      </c>
      <c r="I60" s="10" t="n">
        <v>0</v>
      </c>
      <c r="J60" s="10" t="n">
        <v>0</v>
      </c>
      <c r="K60" s="9" t="n"/>
      <c r="L60" s="10" t="n">
        <v>0</v>
      </c>
    </row>
    <row r="61">
      <c r="A61" s="7" t="inlineStr">
        <is>
          <t>Keyword-search tests including the empty-result case</t>
        </is>
      </c>
      <c r="B61" s="8" t="n"/>
      <c r="C61" s="9" t="inlineStr">
        <is>
          <t>Smriti Bhemireddy</t>
        </is>
      </c>
      <c r="D61" s="10" t="n">
        <v>0.5</v>
      </c>
      <c r="E61" s="10" t="n">
        <v>0.5</v>
      </c>
      <c r="F61" s="10" t="n">
        <v>0.5</v>
      </c>
      <c r="G61" s="10" t="n">
        <v>0.5</v>
      </c>
      <c r="H61" s="10" t="n">
        <v>0</v>
      </c>
      <c r="I61" s="10" t="n">
        <v>0</v>
      </c>
      <c r="J61" s="10" t="n">
        <v>0</v>
      </c>
      <c r="K61" s="9" t="n"/>
      <c r="L61" s="10" t="n">
        <v>0</v>
      </c>
    </row>
    <row r="62">
      <c r="A62" s="3" t="inlineStr">
        <is>
          <t>User Story #26 - Rate And Review A Dish</t>
        </is>
      </c>
      <c r="B62" s="4" t="n">
        <v>5</v>
      </c>
      <c r="C62" s="5" t="n"/>
      <c r="D62" s="5">
        <f>SUM(D63:D65)</f>
        <v/>
      </c>
      <c r="E62" s="5">
        <f>SUM(E63:E65)</f>
        <v/>
      </c>
      <c r="F62" s="5">
        <f>SUM(F63:F65)</f>
        <v/>
      </c>
      <c r="G62" s="5">
        <f>SUM(G63:G65)</f>
        <v/>
      </c>
      <c r="H62" s="5">
        <f>SUM(H63:H65)</f>
        <v/>
      </c>
      <c r="I62" s="5">
        <f>SUM(I63:I65)</f>
        <v/>
      </c>
      <c r="J62" s="5">
        <f>SUM(J63:J65)</f>
        <v/>
      </c>
      <c r="K62" s="6" t="inlineStr">
        <is>
          <t>Done</t>
        </is>
      </c>
      <c r="L62" s="5" t="n"/>
    </row>
    <row r="63">
      <c r="A63" s="7" t="inlineStr">
        <is>
          <t>Review create with 1-5 rating validation and customer / menu item FKs</t>
        </is>
      </c>
      <c r="B63" s="8" t="n"/>
      <c r="C63" s="9" t="inlineStr">
        <is>
          <t>Smriti Bhemireddy</t>
        </is>
      </c>
      <c r="D63" s="10" t="n">
        <v>1</v>
      </c>
      <c r="E63" s="10" t="n">
        <v>1</v>
      </c>
      <c r="F63" s="10" t="n">
        <v>0.5</v>
      </c>
      <c r="G63" s="10" t="n">
        <v>0.5</v>
      </c>
      <c r="H63" s="10" t="n">
        <v>0</v>
      </c>
      <c r="I63" s="10" t="n">
        <v>0</v>
      </c>
      <c r="J63" s="10" t="n">
        <v>0</v>
      </c>
      <c r="K63" s="9" t="n"/>
      <c r="L63" s="10" t="n">
        <v>0</v>
      </c>
    </row>
    <row r="64">
      <c r="A64" s="7" t="inlineStr">
        <is>
          <t>Validate that the reviewed dish and customer exist before saving</t>
        </is>
      </c>
      <c r="B64" s="8" t="n"/>
      <c r="C64" s="9" t="inlineStr">
        <is>
          <t>Smriti Bhemireddy</t>
        </is>
      </c>
      <c r="D64" s="10" t="n">
        <v>1</v>
      </c>
      <c r="E64" s="10" t="n">
        <v>1</v>
      </c>
      <c r="F64" s="10" t="n">
        <v>1</v>
      </c>
      <c r="G64" s="10" t="n">
        <v>0.5</v>
      </c>
      <c r="H64" s="10" t="n">
        <v>0.5</v>
      </c>
      <c r="I64" s="10" t="n">
        <v>0</v>
      </c>
      <c r="J64" s="10" t="n">
        <v>0</v>
      </c>
      <c r="K64" s="9" t="n"/>
      <c r="L64" s="10" t="n">
        <v>0</v>
      </c>
    </row>
    <row r="65">
      <c r="A65" s="7" t="inlineStr">
        <is>
          <t>Review-creation tests</t>
        </is>
      </c>
      <c r="B65" s="8" t="n"/>
      <c r="C65" s="9" t="inlineStr">
        <is>
          <t>Smriti Bhemireddy</t>
        </is>
      </c>
      <c r="D65" s="10" t="n">
        <v>0.5</v>
      </c>
      <c r="E65" s="10" t="n">
        <v>0.5</v>
      </c>
      <c r="F65" s="10" t="n">
        <v>0.5</v>
      </c>
      <c r="G65" s="10" t="n">
        <v>0.5</v>
      </c>
      <c r="H65" s="10" t="n">
        <v>0</v>
      </c>
      <c r="I65" s="10" t="n">
        <v>0</v>
      </c>
      <c r="J65" s="10" t="n">
        <v>0</v>
      </c>
      <c r="K65" s="9" t="n"/>
      <c r="L65" s="10" t="n">
        <v>0</v>
      </c>
    </row>
    <row r="66">
      <c r="A66" s="3" t="inlineStr">
        <is>
          <t>User Story #28 - Apply A Promo Code At Checkout</t>
        </is>
      </c>
      <c r="B66" s="4" t="n">
        <v>3</v>
      </c>
      <c r="C66" s="5" t="n"/>
      <c r="D66" s="5">
        <f>SUM(D67:D69)</f>
        <v/>
      </c>
      <c r="E66" s="5">
        <f>SUM(E67:E69)</f>
        <v/>
      </c>
      <c r="F66" s="5">
        <f>SUM(F67:F69)</f>
        <v/>
      </c>
      <c r="G66" s="5">
        <f>SUM(G67:G69)</f>
        <v/>
      </c>
      <c r="H66" s="5">
        <f>SUM(H67:H69)</f>
        <v/>
      </c>
      <c r="I66" s="5">
        <f>SUM(I67:I69)</f>
        <v/>
      </c>
      <c r="J66" s="5">
        <f>SUM(J67:J69)</f>
        <v/>
      </c>
      <c r="K66" s="6" t="inlineStr">
        <is>
          <t>Done</t>
        </is>
      </c>
      <c r="L66" s="5" t="n"/>
    </row>
    <row r="67">
      <c r="A67" s="7" t="inlineStr">
        <is>
          <t>POST /promocodes/apply validating active and non-expired codes</t>
        </is>
      </c>
      <c r="B67" s="8" t="n"/>
      <c r="C67" s="9" t="inlineStr">
        <is>
          <t>Smriti Bhemireddy</t>
        </is>
      </c>
      <c r="D67" s="10" t="n">
        <v>1</v>
      </c>
      <c r="E67" s="10" t="n">
        <v>1</v>
      </c>
      <c r="F67" s="10" t="n">
        <v>1</v>
      </c>
      <c r="G67" s="10" t="n">
        <v>0.5</v>
      </c>
      <c r="H67" s="10" t="n">
        <v>0.5</v>
      </c>
      <c r="I67" s="10" t="n">
        <v>0</v>
      </c>
      <c r="J67" s="10" t="n">
        <v>0</v>
      </c>
      <c r="K67" s="9" t="n"/>
      <c r="L67" s="10" t="n">
        <v>0</v>
      </c>
    </row>
    <row r="68">
      <c r="A68" s="7" t="inlineStr">
        <is>
          <t>Recompute order totals server-side from line items and the promo discount</t>
        </is>
      </c>
      <c r="B68" s="8" t="n"/>
      <c r="C68" s="9" t="inlineStr">
        <is>
          <t>Smriti Bhemireddy</t>
        </is>
      </c>
      <c r="D68" s="10" t="n">
        <v>1.5</v>
      </c>
      <c r="E68" s="10" t="n">
        <v>1.5</v>
      </c>
      <c r="F68" s="10" t="n">
        <v>1.5</v>
      </c>
      <c r="G68" s="10" t="n">
        <v>1</v>
      </c>
      <c r="H68" s="10" t="n">
        <v>0.5</v>
      </c>
      <c r="I68" s="10" t="n">
        <v>0.5</v>
      </c>
      <c r="J68" s="10" t="n">
        <v>0</v>
      </c>
      <c r="K68" s="9" t="n"/>
      <c r="L68" s="10" t="n">
        <v>0</v>
      </c>
    </row>
    <row r="69">
      <c r="A69" s="7" t="inlineStr">
        <is>
          <t>test_promo_apply.py and test_order_totals.py</t>
        </is>
      </c>
      <c r="B69" s="8" t="n"/>
      <c r="C69" s="9" t="inlineStr">
        <is>
          <t>Smriti Bhemireddy</t>
        </is>
      </c>
      <c r="D69" s="10" t="n">
        <v>1</v>
      </c>
      <c r="E69" s="10" t="n">
        <v>1</v>
      </c>
      <c r="F69" s="10" t="n">
        <v>1</v>
      </c>
      <c r="G69" s="10" t="n">
        <v>0.5</v>
      </c>
      <c r="H69" s="10" t="n">
        <v>0.5</v>
      </c>
      <c r="I69" s="10" t="n">
        <v>0</v>
      </c>
      <c r="J69" s="10" t="n">
        <v>0</v>
      </c>
      <c r="K69" s="9" t="n"/>
      <c r="L69" s="10" t="n">
        <v>0</v>
      </c>
    </row>
    <row r="70">
      <c r="A70" s="3" t="inlineStr">
        <is>
          <t>User Story #27 (added mid-sprint) - Read Other Customers' Reviews</t>
        </is>
      </c>
      <c r="B70" s="4" t="n">
        <v>3</v>
      </c>
      <c r="C70" s="5" t="n"/>
      <c r="D70" s="5">
        <f>SUM(D71:D72)</f>
        <v/>
      </c>
      <c r="E70" s="5">
        <f>SUM(E71:E72)</f>
        <v/>
      </c>
      <c r="F70" s="5">
        <f>SUM(F71:F72)</f>
        <v/>
      </c>
      <c r="G70" s="5">
        <f>SUM(G71:G72)</f>
        <v/>
      </c>
      <c r="H70" s="5">
        <f>SUM(H71:H72)</f>
        <v/>
      </c>
      <c r="I70" s="5">
        <f>SUM(I71:I72)</f>
        <v/>
      </c>
      <c r="J70" s="5">
        <f>SUM(J71:J72)</f>
        <v/>
      </c>
      <c r="K70" s="6" t="inlineStr">
        <is>
          <t>Done</t>
        </is>
      </c>
      <c r="L70" s="5" t="n"/>
    </row>
    <row r="71">
      <c r="A71" s="7" t="inlineStr">
        <is>
          <t>GET /reviews?item_id= filter so reviews can be read per dish</t>
        </is>
      </c>
      <c r="B71" s="8" t="n"/>
      <c r="C71" s="9" t="inlineStr">
        <is>
          <t>Smriti Bhemireddy</t>
        </is>
      </c>
      <c r="D71" s="10" t="n">
        <v>0.5</v>
      </c>
      <c r="E71" s="10" t="n">
        <v>0.5</v>
      </c>
      <c r="F71" s="10" t="n">
        <v>0.5</v>
      </c>
      <c r="G71" s="10" t="n">
        <v>0.5</v>
      </c>
      <c r="H71" s="10" t="n">
        <v>0</v>
      </c>
      <c r="I71" s="10" t="n">
        <v>0</v>
      </c>
      <c r="J71" s="10" t="n">
        <v>0</v>
      </c>
      <c r="K71" s="9" t="n"/>
      <c r="L71" s="10" t="n">
        <v>0</v>
      </c>
    </row>
    <row r="72">
      <c r="A72" s="7" t="inlineStr">
        <is>
          <t>test_reviews_by_dish.py</t>
        </is>
      </c>
      <c r="B72" s="8" t="n"/>
      <c r="C72" s="9" t="inlineStr">
        <is>
          <t>Smriti Bhemireddy</t>
        </is>
      </c>
      <c r="D72" s="10" t="n">
        <v>0.5</v>
      </c>
      <c r="E72" s="10" t="n">
        <v>0.5</v>
      </c>
      <c r="F72" s="10" t="n">
        <v>0.5</v>
      </c>
      <c r="G72" s="10" t="n">
        <v>0.5</v>
      </c>
      <c r="H72" s="10" t="n">
        <v>0</v>
      </c>
      <c r="I72" s="10" t="n">
        <v>0</v>
      </c>
      <c r="J72" s="10" t="n">
        <v>0</v>
      </c>
      <c r="K72" s="9" t="n"/>
      <c r="L72" s="10" t="n">
        <v>0</v>
      </c>
    </row>
    <row r="73">
      <c r="A73" s="3" t="inlineStr">
        <is>
          <t>User Story #15 (added mid-sprint) - Revenue Trends Over Time</t>
        </is>
      </c>
      <c r="B73" s="4" t="n">
        <v>5</v>
      </c>
      <c r="C73" s="5" t="n"/>
      <c r="D73" s="5">
        <f>SUM(D74:D75)</f>
        <v/>
      </c>
      <c r="E73" s="5">
        <f>SUM(E74:E75)</f>
        <v/>
      </c>
      <c r="F73" s="5">
        <f>SUM(F74:F75)</f>
        <v/>
      </c>
      <c r="G73" s="5">
        <f>SUM(G74:G75)</f>
        <v/>
      </c>
      <c r="H73" s="5">
        <f>SUM(H74:H75)</f>
        <v/>
      </c>
      <c r="I73" s="5">
        <f>SUM(I74:I75)</f>
        <v/>
      </c>
      <c r="J73" s="5">
        <f>SUM(J74:J75)</f>
        <v/>
      </c>
      <c r="K73" s="6" t="inlineStr">
        <is>
          <t>Done</t>
        </is>
      </c>
      <c r="L73" s="5" t="n"/>
    </row>
    <row r="74">
      <c r="A74" s="7" t="inlineStr">
        <is>
          <t>GET /reports/revenue/trends?start_date=&amp;end_date= aggregation</t>
        </is>
      </c>
      <c r="B74" s="8" t="n"/>
      <c r="C74" s="9" t="inlineStr">
        <is>
          <t>Smriti Bhemireddy</t>
        </is>
      </c>
      <c r="D74" s="10" t="n">
        <v>1</v>
      </c>
      <c r="E74" s="10" t="n">
        <v>1</v>
      </c>
      <c r="F74" s="10" t="n">
        <v>1</v>
      </c>
      <c r="G74" s="10" t="n">
        <v>0.5</v>
      </c>
      <c r="H74" s="10" t="n">
        <v>0.5</v>
      </c>
      <c r="I74" s="10" t="n">
        <v>0</v>
      </c>
      <c r="J74" s="10" t="n">
        <v>0</v>
      </c>
      <c r="K74" s="9" t="n"/>
      <c r="L74" s="10" t="n">
        <v>0</v>
      </c>
    </row>
    <row r="75">
      <c r="A75" s="7" t="inlineStr">
        <is>
          <t>Reject inverted ranges with 400, plus trend tests</t>
        </is>
      </c>
      <c r="B75" s="8" t="n"/>
      <c r="C75" s="9" t="inlineStr">
        <is>
          <t>Smriti Bhemireddy</t>
        </is>
      </c>
      <c r="D75" s="10" t="n">
        <v>0.5</v>
      </c>
      <c r="E75" s="10" t="n">
        <v>0.5</v>
      </c>
      <c r="F75" s="10" t="n">
        <v>0.5</v>
      </c>
      <c r="G75" s="10" t="n">
        <v>0.5</v>
      </c>
      <c r="H75" s="10" t="n">
        <v>0</v>
      </c>
      <c r="I75" s="10" t="n">
        <v>0</v>
      </c>
      <c r="J75" s="10" t="n">
        <v>0</v>
      </c>
      <c r="K75" s="9" t="n"/>
      <c r="L75" s="10" t="n">
        <v>0</v>
      </c>
    </row>
    <row r="76">
      <c r="A76" s="3" t="inlineStr">
        <is>
          <t>User Story #17 (added mid-sprint) - Optional Account Creation</t>
        </is>
      </c>
      <c r="B76" s="4" t="n">
        <v>3</v>
      </c>
      <c r="C76" s="5" t="n"/>
      <c r="D76" s="5">
        <f>SUM(D77:D78)</f>
        <v/>
      </c>
      <c r="E76" s="5">
        <f>SUM(E77:E78)</f>
        <v/>
      </c>
      <c r="F76" s="5">
        <f>SUM(F77:F78)</f>
        <v/>
      </c>
      <c r="G76" s="5">
        <f>SUM(G77:G78)</f>
        <v/>
      </c>
      <c r="H76" s="5">
        <f>SUM(H77:H78)</f>
        <v/>
      </c>
      <c r="I76" s="5">
        <f>SUM(I77:I78)</f>
        <v/>
      </c>
      <c r="J76" s="5">
        <f>SUM(J77:J78)</f>
        <v/>
      </c>
      <c r="K76" s="6" t="inlineStr">
        <is>
          <t>Done</t>
        </is>
      </c>
      <c r="L76" s="5" t="n"/>
    </row>
    <row r="77">
      <c r="A77" s="7" t="inlineStr">
        <is>
          <t>hasAccount flag honoured on customer create and update</t>
        </is>
      </c>
      <c r="B77" s="8" t="n"/>
      <c r="C77" s="9" t="inlineStr">
        <is>
          <t>Smriti Bhemireddy</t>
        </is>
      </c>
      <c r="D77" s="10" t="n">
        <v>0.5</v>
      </c>
      <c r="E77" s="10" t="n">
        <v>0.5</v>
      </c>
      <c r="F77" s="10" t="n">
        <v>0.5</v>
      </c>
      <c r="G77" s="10" t="n">
        <v>0</v>
      </c>
      <c r="H77" s="10" t="n">
        <v>0</v>
      </c>
      <c r="I77" s="10" t="n">
        <v>0</v>
      </c>
      <c r="J77" s="10" t="n">
        <v>0</v>
      </c>
      <c r="K77" s="9" t="n"/>
      <c r="L77" s="10" t="n">
        <v>0</v>
      </c>
    </row>
    <row r="78">
      <c r="A78" s="7" t="inlineStr">
        <is>
          <t>Account-creation tests</t>
        </is>
      </c>
      <c r="B78" s="8" t="n"/>
      <c r="C78" s="9" t="inlineStr">
        <is>
          <t>Smriti Bhemireddy</t>
        </is>
      </c>
      <c r="D78" s="10" t="n">
        <v>0.5</v>
      </c>
      <c r="E78" s="10" t="n">
        <v>0.5</v>
      </c>
      <c r="F78" s="10" t="n">
        <v>0.5</v>
      </c>
      <c r="G78" s="10" t="n">
        <v>0</v>
      </c>
      <c r="H78" s="10" t="n">
        <v>0</v>
      </c>
      <c r="I78" s="10" t="n">
        <v>0</v>
      </c>
      <c r="J78" s="10" t="n">
        <v>0</v>
      </c>
      <c r="K78" s="9" t="n"/>
      <c r="L78" s="10" t="n">
        <v>0</v>
      </c>
    </row>
    <row r="79">
      <c r="A79" s="3" t="inlineStr">
        <is>
          <t>Technical Task - Test Harness, Seed Data And Documentation</t>
        </is>
      </c>
      <c r="B79" s="4" t="n"/>
      <c r="C79" s="5" t="n"/>
      <c r="D79" s="5">
        <f>SUM(D80:D82)</f>
        <v/>
      </c>
      <c r="E79" s="5">
        <f>SUM(E80:E82)</f>
        <v/>
      </c>
      <c r="F79" s="5">
        <f>SUM(F80:F82)</f>
        <v/>
      </c>
      <c r="G79" s="5">
        <f>SUM(G80:G82)</f>
        <v/>
      </c>
      <c r="H79" s="5">
        <f>SUM(H80:H82)</f>
        <v/>
      </c>
      <c r="I79" s="5">
        <f>SUM(I80:I82)</f>
        <v/>
      </c>
      <c r="J79" s="5">
        <f>SUM(J80:J82)</f>
        <v/>
      </c>
      <c r="K79" s="6" t="inlineStr">
        <is>
          <t>Done</t>
        </is>
      </c>
      <c r="L79" s="5" t="n"/>
    </row>
    <row r="80">
      <c r="A80" s="7" t="inlineStr">
        <is>
          <t>Isolated in-memory SQLite test harness (TESTING switch and conftest fixtures)</t>
        </is>
      </c>
      <c r="B80" s="8" t="n"/>
      <c r="C80" s="9" t="inlineStr">
        <is>
          <t>Smriti Bhemireddy</t>
        </is>
      </c>
      <c r="D80" s="10" t="n">
        <v>1</v>
      </c>
      <c r="E80" s="10" t="n">
        <v>0.5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9" t="n"/>
      <c r="L80" s="10" t="n">
        <v>0</v>
      </c>
    </row>
    <row r="81">
      <c r="A81" s="7" t="inlineStr">
        <is>
          <t>api/seed.py demo data across all 12 tables plus test_seed.py</t>
        </is>
      </c>
      <c r="B81" s="8" t="n"/>
      <c r="C81" s="9" t="inlineStr">
        <is>
          <t>Smriti Bhemireddy</t>
        </is>
      </c>
      <c r="D81" s="10" t="n">
        <v>1.5</v>
      </c>
      <c r="E81" s="10" t="n">
        <v>1.5</v>
      </c>
      <c r="F81" s="10" t="n">
        <v>1</v>
      </c>
      <c r="G81" s="10" t="n">
        <v>0.5</v>
      </c>
      <c r="H81" s="10" t="n">
        <v>0</v>
      </c>
      <c r="I81" s="10" t="n">
        <v>0</v>
      </c>
      <c r="J81" s="10" t="n">
        <v>0</v>
      </c>
      <c r="K81" s="9" t="n"/>
      <c r="L81" s="10" t="n">
        <v>0</v>
      </c>
    </row>
    <row r="82">
      <c r="A82" s="7" t="inlineStr">
        <is>
          <t>README, FEATURES.md, PROJECT_TASKS.md and TEST_PLAN.md</t>
        </is>
      </c>
      <c r="B82" s="8" t="n"/>
      <c r="C82" s="9" t="inlineStr">
        <is>
          <t>Smriti Bhemireddy</t>
        </is>
      </c>
      <c r="D82" s="10" t="n">
        <v>1</v>
      </c>
      <c r="E82" s="10" t="n">
        <v>1</v>
      </c>
      <c r="F82" s="10" t="n">
        <v>1</v>
      </c>
      <c r="G82" s="10" t="n">
        <v>0.5</v>
      </c>
      <c r="H82" s="10" t="n">
        <v>0.5</v>
      </c>
      <c r="I82" s="10" t="n">
        <v>0</v>
      </c>
      <c r="J82" s="10" t="n">
        <v>0</v>
      </c>
      <c r="K82" s="9" t="n"/>
      <c r="L82" s="10" t="n">
        <v>0</v>
      </c>
    </row>
    <row r="83">
      <c r="A83" s="11" t="inlineStr">
        <is>
          <t>TOTAL</t>
        </is>
      </c>
      <c r="B83" s="12" t="n">
        <v>75</v>
      </c>
      <c r="C83" s="12" t="n"/>
      <c r="D83" s="13">
        <f>D4+D8+D12+D16+D22+D26+D30+D34+D38+D42+D46+D50+D54+D58+D62+D66+D70+D73+D76+D79</f>
        <v/>
      </c>
      <c r="E83" s="13">
        <f>E4+E8+E12+E16+E22+E26+E30+E34+E38+E42+E46+E50+E54+E58+E62+E66+E70+E73+E76+E79</f>
        <v/>
      </c>
      <c r="F83" s="13">
        <f>F4+F8+F12+F16+F22+F26+F30+F34+F38+F42+F46+F50+F54+F58+F62+F66+F70+F73+F76+F79</f>
        <v/>
      </c>
      <c r="G83" s="13">
        <f>G4+G8+G12+G16+G22+G26+G30+G34+G38+G42+G46+G50+G54+G58+G62+G66+G70+G73+G76+G79</f>
        <v/>
      </c>
      <c r="H83" s="13">
        <f>H4+H8+H12+H16+H22+H26+H30+H34+H38+H42+H46+H50+H54+H58+H62+H66+H70+H73+H76+H79</f>
        <v/>
      </c>
      <c r="I83" s="13">
        <f>I4+I8+I12+I16+I22+I26+I30+I34+I38+I42+I46+I50+I54+I58+I62+I66+I70+I73+I76+I79</f>
        <v/>
      </c>
      <c r="J83" s="13">
        <f>J4+J8+J12+J16+J22+J26+J30+J34+J38+J42+J46+J50+J54+J58+J62+J66+J70+J73+J76+J79</f>
        <v/>
      </c>
      <c r="K83" s="12" t="n"/>
      <c r="L83" s="13">
        <f>SUM(L4:L82)</f>
        <v/>
      </c>
    </row>
  </sheetData>
  <mergeCells count="2">
    <mergeCell ref="A2:L2"/>
    <mergeCell ref="A1:L1"/>
  </mergeCells>
  <dataValidations count="1">
    <dataValidation sqref="K4:K28" showDropDown="0" showInputMessage="0" showErrorMessage="1" allowBlank="1" type="list">
      <formula1>"To Do,Doing,Done"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2026-08-02T19:52:42Z</dcterms:created>
  <dcterms:modified xmlns:dcterms="http://purl.org/dc/terms/" xmlns:xsi="http://www.w3.org/2001/XMLSchema-instance" xsi:type="dcterms:W3CDTF">2026-08-02T19:52:42Z</dcterms:modified>
  <cp:lastModifiedBy>Hesam Fallahian</cp:lastModifiedBy>
</cp:coreProperties>
</file>